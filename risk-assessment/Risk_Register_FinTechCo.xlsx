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Legend &amp; Scoring" sheetId="2" r:id="rId6"/>
  </sheets>
  <definedNames/>
  <calcPr/>
</workbook>
</file>

<file path=xl/sharedStrings.xml><?xml version="1.0" encoding="utf-8"?>
<sst xmlns="http://schemas.openxmlformats.org/spreadsheetml/2006/main" count="258" uniqueCount="191">
  <si>
    <t>FinTech Co - Information Security Risk Register</t>
  </si>
  <si>
    <t>Fictional Fintech Organization (50 employees) | Aligned to ISO 27001 &amp; NIST CSF | Last Reviewed: March 2026</t>
  </si>
  <si>
    <t>Risk ID</t>
  </si>
  <si>
    <t>Category</t>
  </si>
  <si>
    <t>Risk Title</t>
  </si>
  <si>
    <t>Risk Description</t>
  </si>
  <si>
    <t>Affected Asset / Process</t>
  </si>
  <si>
    <t>Threat Source</t>
  </si>
  <si>
    <t>Likelihood
(1–5)</t>
  </si>
  <si>
    <t>Impact
(1–5)</t>
  </si>
  <si>
    <t>Risk Score
(L×I)</t>
  </si>
  <si>
    <t>Risk Rating</t>
  </si>
  <si>
    <t>Current Controls</t>
  </si>
  <si>
    <t>Treatment</t>
  </si>
  <si>
    <t>Recommended Action</t>
  </si>
  <si>
    <t>Owner</t>
  </si>
  <si>
    <t>R-001</t>
  </si>
  <si>
    <t>Cyber / Data Breach</t>
  </si>
  <si>
    <t>Ransomware Attack</t>
  </si>
  <si>
    <t>Malicious encryption of systems and data demanding ransom payment</t>
  </si>
  <si>
    <t>Payment processing systems, customer PII</t>
  </si>
  <si>
    <t>External threat actor</t>
  </si>
  <si>
    <t>Critical</t>
  </si>
  <si>
    <t>Endpoint AV, email filtering</t>
  </si>
  <si>
    <t>Mitigate</t>
  </si>
  <si>
    <t>Deploy EDR solution; enforce offline backups; conduct phishing simulation</t>
  </si>
  <si>
    <t>CISO</t>
  </si>
  <si>
    <t>R-002</t>
  </si>
  <si>
    <t>Customer Data Breach via Web App</t>
  </si>
  <si>
    <t>Exploitation of web application vulnerability exposing cardholder and PII data</t>
  </si>
  <si>
    <t>Customer portal, payment API</t>
  </si>
  <si>
    <t>External attacker</t>
  </si>
  <si>
    <t>High</t>
  </si>
  <si>
    <t>WAF, input validation, TLS</t>
  </si>
  <si>
    <t>Conduct quarterly DAST/SAST; implement bug bounty programme</t>
  </si>
  <si>
    <t>AppSec Lead</t>
  </si>
  <si>
    <t>R-003</t>
  </si>
  <si>
    <t>Insider Data Theft</t>
  </si>
  <si>
    <t>Malicious or negligent employee exfiltrates sensitive customer or financial data</t>
  </si>
  <si>
    <t>CRM, financial records, PII database</t>
  </si>
  <si>
    <t>Malicious insider</t>
  </si>
  <si>
    <t>DLP tool, role-based access</t>
  </si>
  <si>
    <t>Implement UEBA; enforce least privilege; quarterly access reviews</t>
  </si>
  <si>
    <t>IT Security</t>
  </si>
  <si>
    <t>R-004</t>
  </si>
  <si>
    <t>Phishing / Credential Compromise</t>
  </si>
  <si>
    <t>Employee credentials stolen via phishing, enabling unauthorised system access</t>
  </si>
  <si>
    <t>Email, SaaS applications, VPN</t>
  </si>
  <si>
    <t>MFA on critical systems, security awareness training</t>
  </si>
  <si>
    <t>Enforce MFA across all systems; deploy anti-phishing email gateway</t>
  </si>
  <si>
    <t>IT Manager</t>
  </si>
  <si>
    <t>R-005</t>
  </si>
  <si>
    <t>Unpatched Software Vulnerability</t>
  </si>
  <si>
    <t>Exploitation of known CVEs in unpatched servers or applications</t>
  </si>
  <si>
    <t>Web servers, internal applications</t>
  </si>
  <si>
    <t>Monthly patching cycle</t>
  </si>
  <si>
    <t>Implement vulnerability management programme; target 14-day critical patch SLA</t>
  </si>
  <si>
    <t>IT Ops</t>
  </si>
  <si>
    <t>R-006</t>
  </si>
  <si>
    <t>Third-Party / Vendor Risk</t>
  </si>
  <si>
    <t>Payment Processor Outage</t>
  </si>
  <si>
    <t>Critical payment gateway provider suffers downtime, halting transaction processing</t>
  </si>
  <si>
    <t>Payment processing, revenue</t>
  </si>
  <si>
    <t>Third-party vendor</t>
  </si>
  <si>
    <t>SLA in contract, secondary processor identified</t>
  </si>
  <si>
    <t>Transfer</t>
  </si>
  <si>
    <t>Activate secondary payment processor; review SLA penalties with legal</t>
  </si>
  <si>
    <t>CFO / Ops</t>
  </si>
  <si>
    <t>R-007</t>
  </si>
  <si>
    <t>Vendor Data Breach (4th Party)</t>
  </si>
  <si>
    <t>A key vendor suffers a breach exposing data shared by FinTech Co</t>
  </si>
  <si>
    <t>Shared customer data, API integrations</t>
  </si>
  <si>
    <t>Annual vendor security questionnaire</t>
  </si>
  <si>
    <t>Implement TPRM programme; require SOC 2 Type II reports from critical vendors</t>
  </si>
  <si>
    <t>Procurement</t>
  </si>
  <si>
    <t>R-008</t>
  </si>
  <si>
    <t>Cloud Provider Misconfiguration</t>
  </si>
  <si>
    <t>Misconfigured AWS/GCP settings expose storage buckets or services publicly</t>
  </si>
  <si>
    <t>Cloud infrastructure, stored data</t>
  </si>
  <si>
    <t>Internal error / vendor</t>
  </si>
  <si>
    <t>IaC templates, basic CSPM alerts</t>
  </si>
  <si>
    <t>Deploy CSPM tool (e.g. Wiz/Prisma); enforce infrastructure-as-code reviews</t>
  </si>
  <si>
    <t>Cloud Architect</t>
  </si>
  <si>
    <t>R-009</t>
  </si>
  <si>
    <t>Vendor Contract Non-Compliance</t>
  </si>
  <si>
    <t>Critical SaaS vendor fails to meet regulatory or data handling contractual obligations</t>
  </si>
  <si>
    <t>Data processing agreements, compliance posture</t>
  </si>
  <si>
    <t>Medium</t>
  </si>
  <si>
    <t>DPAs in place for key vendors</t>
  </si>
  <si>
    <t>Annual DPA review; align contracts with GDPR/PCI DSS obligations</t>
  </si>
  <si>
    <t>Legal / Compliance</t>
  </si>
  <si>
    <t>R-010</t>
  </si>
  <si>
    <t>Operational / People Risk</t>
  </si>
  <si>
    <t>Key Person Dependency</t>
  </si>
  <si>
    <t>Critical security or IT knowledge concentrated in one or two individuals</t>
  </si>
  <si>
    <t>Security operations, system administration</t>
  </si>
  <si>
    <t>Internal - people</t>
  </si>
  <si>
    <t>Some documentation exists</t>
  </si>
  <si>
    <t>Document all critical processes; cross-train backup staff; implement succession planning</t>
  </si>
  <si>
    <t>HR / CISO</t>
  </si>
  <si>
    <t>R-011</t>
  </si>
  <si>
    <t>Accidental Data Deletion</t>
  </si>
  <si>
    <t>Employee accidentally deletes critical database or configuration files</t>
  </si>
  <si>
    <t>Databases, configuration management</t>
  </si>
  <si>
    <t>Internal - human error</t>
  </si>
  <si>
    <t>Daily automated backups</t>
  </si>
  <si>
    <t>Implement soft-delete / versioning; test restore procedures quarterly</t>
  </si>
  <si>
    <t>R-012</t>
  </si>
  <si>
    <t>Inadequate Security Awareness</t>
  </si>
  <si>
    <t>Employees unaware of security policies, leading to policy violations or incidents</t>
  </si>
  <si>
    <t>All systems and data</t>
  </si>
  <si>
    <t>Annual security awareness training</t>
  </si>
  <si>
    <t>Move to quarterly micro-trainings; track completion; simulate phishing monthly</t>
  </si>
  <si>
    <t>HR / Security</t>
  </si>
  <si>
    <t>R-013</t>
  </si>
  <si>
    <t>Unauthorised Shadow IT</t>
  </si>
  <si>
    <t>Employees use unapproved SaaS tools storing company or customer data</t>
  </si>
  <si>
    <t>Data governance, compliance posture</t>
  </si>
  <si>
    <t>Acceptable use policy exists</t>
  </si>
  <si>
    <t>Deploy CASB; publish approved software catalogue; enforce policy with HR</t>
  </si>
  <si>
    <t>R-014</t>
  </si>
  <si>
    <t>Business Continuity / DR</t>
  </si>
  <si>
    <t>Data Centre / Primary Cloud Region Failure</t>
  </si>
  <si>
    <t>Primary hosting environment becomes unavailable due to outage or disaster</t>
  </si>
  <si>
    <t>All hosted services, customer-facing applications</t>
  </si>
  <si>
    <t>Natural disaster / infra failure</t>
  </si>
  <si>
    <t>Single-region deployment with snapshots</t>
  </si>
  <si>
    <t>Design multi-region active-passive architecture; test failover bi-annually</t>
  </si>
  <si>
    <t>CTO / Cloud Arch</t>
  </si>
  <si>
    <t>R-015</t>
  </si>
  <si>
    <t>Backup Failure / Data Loss</t>
  </si>
  <si>
    <t>Backup processes fail silently; data unrecoverable during incident</t>
  </si>
  <si>
    <t>All critical data assets</t>
  </si>
  <si>
    <t>Internal - process failure</t>
  </si>
  <si>
    <t>Automated nightly backups (untested)</t>
  </si>
  <si>
    <t>Implement backup monitoring with alerts; schedule quarterly restore tests</t>
  </si>
  <si>
    <t>R-016</t>
  </si>
  <si>
    <t>Business Continuity Plan Not Tested</t>
  </si>
  <si>
    <t>BCP exists on paper but has never been exercised; real invocation likely to fail</t>
  </si>
  <si>
    <t>All business operations</t>
  </si>
  <si>
    <t>Internal - governance gap</t>
  </si>
  <si>
    <t>BCP document in place</t>
  </si>
  <si>
    <t>Conduct tabletop exercise within 90 days; schedule annual full DR test</t>
  </si>
  <si>
    <t>COO / CISO</t>
  </si>
  <si>
    <t>R-017</t>
  </si>
  <si>
    <t>Extended Power / Internet Outage</t>
  </si>
  <si>
    <t>Office or co-location facility loses power or connectivity for extended period</t>
  </si>
  <si>
    <t>Office operations, on-prem systems</t>
  </si>
  <si>
    <t>External - infrastructure</t>
  </si>
  <si>
    <t>UPS units in office</t>
  </si>
  <si>
    <t>Accept</t>
  </si>
  <si>
    <t>Document remote-work fallback procedure; consider cloud-first migration</t>
  </si>
  <si>
    <t>R-018</t>
  </si>
  <si>
    <t>API Security Misconfiguration</t>
  </si>
  <si>
    <t>Internal or external APIs expose excessive data or lack proper authentication</t>
  </si>
  <si>
    <t>Customer data, payment integrations</t>
  </si>
  <si>
    <t>Basic API keys in use</t>
  </si>
  <si>
    <t>Implement OAuth 2.0 / API gateway; conduct annual API security review</t>
  </si>
  <si>
    <t>R-019</t>
  </si>
  <si>
    <t>Open Source Software Vulnerability</t>
  </si>
  <si>
    <t>Unvetted open-source library contains malicious code or critical CVE</t>
  </si>
  <si>
    <t>Application codebase, build pipeline</t>
  </si>
  <si>
    <t>Supply chain / external</t>
  </si>
  <si>
    <t>No formal SCA in place</t>
  </si>
  <si>
    <t>Integrate SCA tool (e.g. Snyk/Dependabot) into CI/CD pipeline</t>
  </si>
  <si>
    <t>Engineering Lead</t>
  </si>
  <si>
    <t>R-020</t>
  </si>
  <si>
    <t>Privileged Access Abuse</t>
  </si>
  <si>
    <t>Admin accounts used without oversight; excessive privileges granted and not revoked</t>
  </si>
  <si>
    <t>All systems, databases, cloud infrastructure</t>
  </si>
  <si>
    <t>Some access reviews done annually</t>
  </si>
  <si>
    <t>Implement PAM solution; enforce just-in-time access; quarterly privilege reviews</t>
  </si>
  <si>
    <t>Risk Scoring &amp; Rating Reference</t>
  </si>
  <si>
    <t>Likelihood Scale</t>
  </si>
  <si>
    <t>Impact Scale</t>
  </si>
  <si>
    <t>Rare - May Occur In Exceptional Circumstances</t>
  </si>
  <si>
    <t>Negligible - Minimal Effect</t>
  </si>
  <si>
    <t>Unlikely - Could Occur, But Not Expected</t>
  </si>
  <si>
    <t>Minor - Small Disruption, Contained Quickly</t>
  </si>
  <si>
    <t>Possible - Might occur At Some Point</t>
  </si>
  <si>
    <t>Moderate - Noticeable Operational Impact</t>
  </si>
  <si>
    <t>Likely - Will Probably Occur</t>
  </si>
  <si>
    <t>Major - Significant Financial Or Reputational Harm</t>
  </si>
  <si>
    <t>Almost Certain - Expected To Occur Regularly</t>
  </si>
  <si>
    <t>Catastrophic - Existential Risk To Organisation</t>
  </si>
  <si>
    <t>Risk Rating Matrix  (Score = Likelihood × Impact)</t>
  </si>
  <si>
    <t>16 - 25</t>
  </si>
  <si>
    <t>10 - 15</t>
  </si>
  <si>
    <t>6 - 9</t>
  </si>
  <si>
    <t>Low</t>
  </si>
  <si>
    <t>1 - 5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</si>
</sst>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0000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theme="1"/>
      <name val="Arial"/>
    </font>
    <font>
      <b/>
      <sz val="9.0"/>
      <color rgb="FFFFFFFF"/>
      <name val="Arial"/>
    </font>
    <font>
      <b/>
      <sz val="13.0"/>
      <color rgb="FFFFFFFF"/>
      <name val="Arial"/>
    </font>
    <font>
      <sz val="9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F6F9"/>
        <bgColor rgb="FFF4F6F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2471A3"/>
        <bgColor rgb="FF2471A3"/>
      </patternFill>
    </fill>
    <fill>
      <patternFill patternType="solid">
        <fgColor rgb="FFEAF0FB"/>
        <bgColor rgb="FFEAF0FB"/>
      </patternFill>
    </fill>
    <fill>
      <patternFill patternType="solid">
        <fgColor rgb="FFFF9900"/>
        <bgColor rgb="FFFF9900"/>
      </patternFill>
    </fill>
    <fill>
      <patternFill patternType="solid">
        <fgColor rgb="FF117A65"/>
        <bgColor rgb="FF117A65"/>
      </patternFill>
    </fill>
    <fill>
      <patternFill patternType="solid">
        <fgColor rgb="FFF1C232"/>
        <bgColor rgb="FFF1C232"/>
      </patternFill>
    </fill>
    <fill>
      <patternFill patternType="solid">
        <fgColor rgb="FF7D6608"/>
        <bgColor rgb="FF7D6608"/>
      </patternFill>
    </fill>
    <fill>
      <patternFill patternType="solid">
        <fgColor rgb="FF6AA84F"/>
        <bgColor rgb="FF6AA84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0"/>
    </xf>
    <xf borderId="4" fillId="5" fontId="7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0"/>
    </xf>
    <xf borderId="4" fillId="8" fontId="7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5" fontId="7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4" fillId="8" fontId="7" numFmtId="0" xfId="0" applyAlignment="1" applyBorder="1" applyFont="1">
      <alignment horizontal="center" shrinkToFit="0" vertical="center" wrapText="0"/>
    </xf>
    <xf borderId="4" fillId="10" fontId="7" numFmtId="0" xfId="0" applyAlignment="1" applyBorder="1" applyFont="1">
      <alignment horizontal="center" shrinkToFit="0" vertical="center" wrapText="0"/>
    </xf>
    <xf borderId="4" fillId="12" fontId="7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24.0"/>
    <col customWidth="1" min="4" max="4" width="42.0"/>
    <col customWidth="1" min="5" max="5" width="28.0"/>
    <col customWidth="1" min="6" max="6" width="22.0"/>
    <col customWidth="1" min="7" max="7" width="12.43"/>
    <col customWidth="1" min="8" max="8" width="8.0"/>
    <col customWidth="1" min="9" max="9" width="10.0"/>
    <col customWidth="1" min="10" max="10" width="12.0"/>
    <col customWidth="1" min="11" max="11" width="32.0"/>
    <col customWidth="1" min="12" max="12" width="12.0"/>
    <col customWidth="1" min="13" max="13" width="48.0"/>
    <col customWidth="1" min="14" max="14" width="16.0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9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ht="42.0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7">
        <v>4.0</v>
      </c>
      <c r="H4" s="7">
        <v>5.0</v>
      </c>
      <c r="I4" s="8">
        <f t="shared" ref="I4:I23" si="1">G4*H4</f>
        <v>20</v>
      </c>
      <c r="J4" s="9" t="s">
        <v>22</v>
      </c>
      <c r="K4" s="6" t="s">
        <v>23</v>
      </c>
      <c r="L4" s="10" t="s">
        <v>24</v>
      </c>
      <c r="M4" s="6" t="s">
        <v>25</v>
      </c>
      <c r="N4" s="6" t="s">
        <v>26</v>
      </c>
    </row>
    <row r="5" ht="42.0" customHeight="1">
      <c r="A5" s="11" t="s">
        <v>27</v>
      </c>
      <c r="B5" s="11" t="s">
        <v>17</v>
      </c>
      <c r="C5" s="11" t="s">
        <v>28</v>
      </c>
      <c r="D5" s="11" t="s">
        <v>29</v>
      </c>
      <c r="E5" s="11" t="s">
        <v>30</v>
      </c>
      <c r="F5" s="11" t="s">
        <v>31</v>
      </c>
      <c r="G5" s="12">
        <v>3.0</v>
      </c>
      <c r="H5" s="12">
        <v>5.0</v>
      </c>
      <c r="I5" s="13">
        <f t="shared" si="1"/>
        <v>15</v>
      </c>
      <c r="J5" s="14" t="s">
        <v>32</v>
      </c>
      <c r="K5" s="11" t="s">
        <v>33</v>
      </c>
      <c r="L5" s="10" t="s">
        <v>24</v>
      </c>
      <c r="M5" s="11" t="s">
        <v>34</v>
      </c>
      <c r="N5" s="11" t="s">
        <v>35</v>
      </c>
    </row>
    <row r="6" ht="42.0" customHeight="1">
      <c r="A6" s="6" t="s">
        <v>36</v>
      </c>
      <c r="B6" s="6" t="s">
        <v>17</v>
      </c>
      <c r="C6" s="6" t="s">
        <v>37</v>
      </c>
      <c r="D6" s="6" t="s">
        <v>38</v>
      </c>
      <c r="E6" s="6" t="s">
        <v>39</v>
      </c>
      <c r="F6" s="6" t="s">
        <v>40</v>
      </c>
      <c r="G6" s="7">
        <v>2.0</v>
      </c>
      <c r="H6" s="7">
        <v>5.0</v>
      </c>
      <c r="I6" s="8">
        <f t="shared" si="1"/>
        <v>10</v>
      </c>
      <c r="J6" s="14" t="s">
        <v>32</v>
      </c>
      <c r="K6" s="6" t="s">
        <v>41</v>
      </c>
      <c r="L6" s="10" t="s">
        <v>24</v>
      </c>
      <c r="M6" s="6" t="s">
        <v>42</v>
      </c>
      <c r="N6" s="6" t="s">
        <v>43</v>
      </c>
    </row>
    <row r="7" ht="42.0" customHeight="1">
      <c r="A7" s="11" t="s">
        <v>44</v>
      </c>
      <c r="B7" s="11" t="s">
        <v>17</v>
      </c>
      <c r="C7" s="11" t="s">
        <v>45</v>
      </c>
      <c r="D7" s="11" t="s">
        <v>46</v>
      </c>
      <c r="E7" s="11" t="s">
        <v>47</v>
      </c>
      <c r="F7" s="11" t="s">
        <v>31</v>
      </c>
      <c r="G7" s="12">
        <v>4.0</v>
      </c>
      <c r="H7" s="12">
        <v>4.0</v>
      </c>
      <c r="I7" s="13">
        <f t="shared" si="1"/>
        <v>16</v>
      </c>
      <c r="J7" s="9" t="s">
        <v>22</v>
      </c>
      <c r="K7" s="11" t="s">
        <v>48</v>
      </c>
      <c r="L7" s="10" t="s">
        <v>24</v>
      </c>
      <c r="M7" s="11" t="s">
        <v>49</v>
      </c>
      <c r="N7" s="11" t="s">
        <v>50</v>
      </c>
    </row>
    <row r="8" ht="42.0" customHeight="1">
      <c r="A8" s="6" t="s">
        <v>51</v>
      </c>
      <c r="B8" s="6" t="s">
        <v>17</v>
      </c>
      <c r="C8" s="6" t="s">
        <v>52</v>
      </c>
      <c r="D8" s="6" t="s">
        <v>53</v>
      </c>
      <c r="E8" s="6" t="s">
        <v>54</v>
      </c>
      <c r="F8" s="6" t="s">
        <v>31</v>
      </c>
      <c r="G8" s="7">
        <v>3.0</v>
      </c>
      <c r="H8" s="7">
        <v>4.0</v>
      </c>
      <c r="I8" s="8">
        <f t="shared" si="1"/>
        <v>12</v>
      </c>
      <c r="J8" s="14" t="s">
        <v>32</v>
      </c>
      <c r="K8" s="6" t="s">
        <v>55</v>
      </c>
      <c r="L8" s="10" t="s">
        <v>24</v>
      </c>
      <c r="M8" s="6" t="s">
        <v>56</v>
      </c>
      <c r="N8" s="6" t="s">
        <v>57</v>
      </c>
    </row>
    <row r="9" ht="42.0" customHeight="1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 t="s">
        <v>63</v>
      </c>
      <c r="G9" s="12">
        <v>2.0</v>
      </c>
      <c r="H9" s="12">
        <v>5.0</v>
      </c>
      <c r="I9" s="13">
        <f t="shared" si="1"/>
        <v>10</v>
      </c>
      <c r="J9" s="14" t="s">
        <v>32</v>
      </c>
      <c r="K9" s="11" t="s">
        <v>64</v>
      </c>
      <c r="L9" s="15" t="s">
        <v>65</v>
      </c>
      <c r="M9" s="11" t="s">
        <v>66</v>
      </c>
      <c r="N9" s="11" t="s">
        <v>67</v>
      </c>
    </row>
    <row r="10" ht="42.0" customHeight="1">
      <c r="A10" s="6" t="s">
        <v>68</v>
      </c>
      <c r="B10" s="6" t="s">
        <v>59</v>
      </c>
      <c r="C10" s="6" t="s">
        <v>69</v>
      </c>
      <c r="D10" s="6" t="s">
        <v>70</v>
      </c>
      <c r="E10" s="6" t="s">
        <v>71</v>
      </c>
      <c r="F10" s="6" t="s">
        <v>63</v>
      </c>
      <c r="G10" s="7">
        <v>3.0</v>
      </c>
      <c r="H10" s="7">
        <v>5.0</v>
      </c>
      <c r="I10" s="8">
        <f t="shared" si="1"/>
        <v>15</v>
      </c>
      <c r="J10" s="14" t="s">
        <v>32</v>
      </c>
      <c r="K10" s="6" t="s">
        <v>72</v>
      </c>
      <c r="L10" s="10" t="s">
        <v>24</v>
      </c>
      <c r="M10" s="6" t="s">
        <v>73</v>
      </c>
      <c r="N10" s="6" t="s">
        <v>74</v>
      </c>
    </row>
    <row r="11" ht="42.0" customHeight="1">
      <c r="A11" s="11" t="s">
        <v>75</v>
      </c>
      <c r="B11" s="11" t="s">
        <v>59</v>
      </c>
      <c r="C11" s="11" t="s">
        <v>76</v>
      </c>
      <c r="D11" s="11" t="s">
        <v>77</v>
      </c>
      <c r="E11" s="11" t="s">
        <v>78</v>
      </c>
      <c r="F11" s="11" t="s">
        <v>79</v>
      </c>
      <c r="G11" s="12">
        <v>3.0</v>
      </c>
      <c r="H11" s="12">
        <v>4.0</v>
      </c>
      <c r="I11" s="13">
        <f t="shared" si="1"/>
        <v>12</v>
      </c>
      <c r="J11" s="14" t="s">
        <v>32</v>
      </c>
      <c r="K11" s="11" t="s">
        <v>80</v>
      </c>
      <c r="L11" s="10" t="s">
        <v>24</v>
      </c>
      <c r="M11" s="11" t="s">
        <v>81</v>
      </c>
      <c r="N11" s="11" t="s">
        <v>82</v>
      </c>
    </row>
    <row r="12" ht="42.0" customHeight="1">
      <c r="A12" s="6" t="s">
        <v>83</v>
      </c>
      <c r="B12" s="6" t="s">
        <v>59</v>
      </c>
      <c r="C12" s="6" t="s">
        <v>84</v>
      </c>
      <c r="D12" s="6" t="s">
        <v>85</v>
      </c>
      <c r="E12" s="6" t="s">
        <v>86</v>
      </c>
      <c r="F12" s="6" t="s">
        <v>63</v>
      </c>
      <c r="G12" s="7">
        <v>2.0</v>
      </c>
      <c r="H12" s="7">
        <v>3.0</v>
      </c>
      <c r="I12" s="8">
        <f t="shared" si="1"/>
        <v>6</v>
      </c>
      <c r="J12" s="16" t="s">
        <v>87</v>
      </c>
      <c r="K12" s="6" t="s">
        <v>88</v>
      </c>
      <c r="L12" s="10" t="s">
        <v>24</v>
      </c>
      <c r="M12" s="6" t="s">
        <v>89</v>
      </c>
      <c r="N12" s="6" t="s">
        <v>90</v>
      </c>
    </row>
    <row r="13" ht="42.0" customHeight="1">
      <c r="A13" s="11" t="s">
        <v>91</v>
      </c>
      <c r="B13" s="11" t="s">
        <v>92</v>
      </c>
      <c r="C13" s="11" t="s">
        <v>93</v>
      </c>
      <c r="D13" s="11" t="s">
        <v>94</v>
      </c>
      <c r="E13" s="11" t="s">
        <v>95</v>
      </c>
      <c r="F13" s="17" t="s">
        <v>96</v>
      </c>
      <c r="G13" s="12">
        <v>3.0</v>
      </c>
      <c r="H13" s="12">
        <v>4.0</v>
      </c>
      <c r="I13" s="13">
        <f t="shared" si="1"/>
        <v>12</v>
      </c>
      <c r="J13" s="14" t="s">
        <v>32</v>
      </c>
      <c r="K13" s="11" t="s">
        <v>97</v>
      </c>
      <c r="L13" s="10" t="s">
        <v>24</v>
      </c>
      <c r="M13" s="11" t="s">
        <v>98</v>
      </c>
      <c r="N13" s="11" t="s">
        <v>99</v>
      </c>
    </row>
    <row r="14" ht="42.0" customHeight="1">
      <c r="A14" s="6" t="s">
        <v>100</v>
      </c>
      <c r="B14" s="6" t="s">
        <v>92</v>
      </c>
      <c r="C14" s="6" t="s">
        <v>101</v>
      </c>
      <c r="D14" s="6" t="s">
        <v>102</v>
      </c>
      <c r="E14" s="6" t="s">
        <v>103</v>
      </c>
      <c r="F14" s="18" t="s">
        <v>104</v>
      </c>
      <c r="G14" s="7">
        <v>3.0</v>
      </c>
      <c r="H14" s="7">
        <v>4.0</v>
      </c>
      <c r="I14" s="8">
        <f t="shared" si="1"/>
        <v>12</v>
      </c>
      <c r="J14" s="14" t="s">
        <v>32</v>
      </c>
      <c r="K14" s="6" t="s">
        <v>105</v>
      </c>
      <c r="L14" s="10" t="s">
        <v>24</v>
      </c>
      <c r="M14" s="6" t="s">
        <v>106</v>
      </c>
      <c r="N14" s="6" t="s">
        <v>57</v>
      </c>
    </row>
    <row r="15" ht="42.0" customHeight="1">
      <c r="A15" s="11" t="s">
        <v>107</v>
      </c>
      <c r="B15" s="11" t="s">
        <v>92</v>
      </c>
      <c r="C15" s="11" t="s">
        <v>108</v>
      </c>
      <c r="D15" s="11" t="s">
        <v>109</v>
      </c>
      <c r="E15" s="11" t="s">
        <v>110</v>
      </c>
      <c r="F15" s="17" t="s">
        <v>104</v>
      </c>
      <c r="G15" s="12">
        <v>4.0</v>
      </c>
      <c r="H15" s="12">
        <v>3.0</v>
      </c>
      <c r="I15" s="13">
        <f t="shared" si="1"/>
        <v>12</v>
      </c>
      <c r="J15" s="14" t="s">
        <v>32</v>
      </c>
      <c r="K15" s="11" t="s">
        <v>111</v>
      </c>
      <c r="L15" s="10" t="s">
        <v>24</v>
      </c>
      <c r="M15" s="11" t="s">
        <v>112</v>
      </c>
      <c r="N15" s="11" t="s">
        <v>113</v>
      </c>
    </row>
    <row r="16" ht="42.0" customHeight="1">
      <c r="A16" s="6" t="s">
        <v>114</v>
      </c>
      <c r="B16" s="6" t="s">
        <v>92</v>
      </c>
      <c r="C16" s="6" t="s">
        <v>115</v>
      </c>
      <c r="D16" s="6" t="s">
        <v>116</v>
      </c>
      <c r="E16" s="6" t="s">
        <v>117</v>
      </c>
      <c r="F16" s="18" t="s">
        <v>96</v>
      </c>
      <c r="G16" s="7">
        <v>3.0</v>
      </c>
      <c r="H16" s="7">
        <v>3.0</v>
      </c>
      <c r="I16" s="8">
        <f t="shared" si="1"/>
        <v>9</v>
      </c>
      <c r="J16" s="16" t="s">
        <v>87</v>
      </c>
      <c r="K16" s="6" t="s">
        <v>118</v>
      </c>
      <c r="L16" s="10" t="s">
        <v>24</v>
      </c>
      <c r="M16" s="6" t="s">
        <v>119</v>
      </c>
      <c r="N16" s="6" t="s">
        <v>43</v>
      </c>
    </row>
    <row r="17" ht="42.0" customHeight="1">
      <c r="A17" s="11" t="s">
        <v>120</v>
      </c>
      <c r="B17" s="11" t="s">
        <v>121</v>
      </c>
      <c r="C17" s="11" t="s">
        <v>122</v>
      </c>
      <c r="D17" s="11" t="s">
        <v>123</v>
      </c>
      <c r="E17" s="11" t="s">
        <v>124</v>
      </c>
      <c r="F17" s="11" t="s">
        <v>125</v>
      </c>
      <c r="G17" s="12">
        <v>2.0</v>
      </c>
      <c r="H17" s="12">
        <v>5.0</v>
      </c>
      <c r="I17" s="13">
        <f t="shared" si="1"/>
        <v>10</v>
      </c>
      <c r="J17" s="14" t="s">
        <v>32</v>
      </c>
      <c r="K17" s="11" t="s">
        <v>126</v>
      </c>
      <c r="L17" s="10" t="s">
        <v>24</v>
      </c>
      <c r="M17" s="11" t="s">
        <v>127</v>
      </c>
      <c r="N17" s="11" t="s">
        <v>128</v>
      </c>
    </row>
    <row r="18" ht="42.0" customHeight="1">
      <c r="A18" s="6" t="s">
        <v>129</v>
      </c>
      <c r="B18" s="6" t="s">
        <v>121</v>
      </c>
      <c r="C18" s="6" t="s">
        <v>130</v>
      </c>
      <c r="D18" s="6" t="s">
        <v>131</v>
      </c>
      <c r="E18" s="6" t="s">
        <v>132</v>
      </c>
      <c r="F18" s="18" t="s">
        <v>133</v>
      </c>
      <c r="G18" s="7">
        <v>2.0</v>
      </c>
      <c r="H18" s="7">
        <v>5.0</v>
      </c>
      <c r="I18" s="8">
        <f t="shared" si="1"/>
        <v>10</v>
      </c>
      <c r="J18" s="14" t="s">
        <v>32</v>
      </c>
      <c r="K18" s="6" t="s">
        <v>134</v>
      </c>
      <c r="L18" s="10" t="s">
        <v>24</v>
      </c>
      <c r="M18" s="6" t="s">
        <v>135</v>
      </c>
      <c r="N18" s="6" t="s">
        <v>57</v>
      </c>
    </row>
    <row r="19" ht="42.0" customHeight="1">
      <c r="A19" s="11" t="s">
        <v>136</v>
      </c>
      <c r="B19" s="11" t="s">
        <v>121</v>
      </c>
      <c r="C19" s="11" t="s">
        <v>137</v>
      </c>
      <c r="D19" s="11" t="s">
        <v>138</v>
      </c>
      <c r="E19" s="11" t="s">
        <v>139</v>
      </c>
      <c r="F19" s="17" t="s">
        <v>140</v>
      </c>
      <c r="G19" s="12">
        <v>3.0</v>
      </c>
      <c r="H19" s="12">
        <v>4.0</v>
      </c>
      <c r="I19" s="13">
        <f t="shared" si="1"/>
        <v>12</v>
      </c>
      <c r="J19" s="14" t="s">
        <v>32</v>
      </c>
      <c r="K19" s="11" t="s">
        <v>141</v>
      </c>
      <c r="L19" s="10" t="s">
        <v>24</v>
      </c>
      <c r="M19" s="11" t="s">
        <v>142</v>
      </c>
      <c r="N19" s="11" t="s">
        <v>143</v>
      </c>
    </row>
    <row r="20" ht="42.0" customHeight="1">
      <c r="A20" s="6" t="s">
        <v>144</v>
      </c>
      <c r="B20" s="6" t="s">
        <v>121</v>
      </c>
      <c r="C20" s="6" t="s">
        <v>145</v>
      </c>
      <c r="D20" s="6" t="s">
        <v>146</v>
      </c>
      <c r="E20" s="6" t="s">
        <v>147</v>
      </c>
      <c r="F20" s="18" t="s">
        <v>148</v>
      </c>
      <c r="G20" s="7">
        <v>2.0</v>
      </c>
      <c r="H20" s="7">
        <v>3.0</v>
      </c>
      <c r="I20" s="8">
        <f t="shared" si="1"/>
        <v>6</v>
      </c>
      <c r="J20" s="16" t="s">
        <v>87</v>
      </c>
      <c r="K20" s="6" t="s">
        <v>149</v>
      </c>
      <c r="L20" s="19" t="s">
        <v>150</v>
      </c>
      <c r="M20" s="6" t="s">
        <v>151</v>
      </c>
      <c r="N20" s="6" t="s">
        <v>50</v>
      </c>
    </row>
    <row r="21" ht="42.0" customHeight="1">
      <c r="A21" s="11" t="s">
        <v>152</v>
      </c>
      <c r="B21" s="11" t="s">
        <v>17</v>
      </c>
      <c r="C21" s="11" t="s">
        <v>153</v>
      </c>
      <c r="D21" s="11" t="s">
        <v>154</v>
      </c>
      <c r="E21" s="11" t="s">
        <v>155</v>
      </c>
      <c r="F21" s="11" t="s">
        <v>31</v>
      </c>
      <c r="G21" s="12">
        <v>3.0</v>
      </c>
      <c r="H21" s="12">
        <v>4.0</v>
      </c>
      <c r="I21" s="13">
        <f t="shared" si="1"/>
        <v>12</v>
      </c>
      <c r="J21" s="14" t="s">
        <v>32</v>
      </c>
      <c r="K21" s="11" t="s">
        <v>156</v>
      </c>
      <c r="L21" s="10" t="s">
        <v>24</v>
      </c>
      <c r="M21" s="11" t="s">
        <v>157</v>
      </c>
      <c r="N21" s="11" t="s">
        <v>35</v>
      </c>
    </row>
    <row r="22" ht="42.0" customHeight="1">
      <c r="A22" s="6" t="s">
        <v>158</v>
      </c>
      <c r="B22" s="6" t="s">
        <v>59</v>
      </c>
      <c r="C22" s="6" t="s">
        <v>159</v>
      </c>
      <c r="D22" s="6" t="s">
        <v>160</v>
      </c>
      <c r="E22" s="6" t="s">
        <v>161</v>
      </c>
      <c r="F22" s="6" t="s">
        <v>162</v>
      </c>
      <c r="G22" s="7">
        <v>3.0</v>
      </c>
      <c r="H22" s="7">
        <v>4.0</v>
      </c>
      <c r="I22" s="8">
        <f t="shared" si="1"/>
        <v>12</v>
      </c>
      <c r="J22" s="14" t="s">
        <v>32</v>
      </c>
      <c r="K22" s="6" t="s">
        <v>163</v>
      </c>
      <c r="L22" s="10" t="s">
        <v>24</v>
      </c>
      <c r="M22" s="6" t="s">
        <v>164</v>
      </c>
      <c r="N22" s="6" t="s">
        <v>165</v>
      </c>
    </row>
    <row r="23" ht="42.0" customHeight="1">
      <c r="A23" s="11" t="s">
        <v>166</v>
      </c>
      <c r="B23" s="11" t="s">
        <v>92</v>
      </c>
      <c r="C23" s="11" t="s">
        <v>167</v>
      </c>
      <c r="D23" s="11" t="s">
        <v>168</v>
      </c>
      <c r="E23" s="11" t="s">
        <v>169</v>
      </c>
      <c r="F23" s="17" t="s">
        <v>96</v>
      </c>
      <c r="G23" s="12">
        <v>2.0</v>
      </c>
      <c r="H23" s="12">
        <v>4.0</v>
      </c>
      <c r="I23" s="13">
        <f t="shared" si="1"/>
        <v>8</v>
      </c>
      <c r="J23" s="16" t="s">
        <v>87</v>
      </c>
      <c r="K23" s="11" t="s">
        <v>170</v>
      </c>
      <c r="L23" s="10" t="s">
        <v>24</v>
      </c>
      <c r="M23" s="11" t="s">
        <v>171</v>
      </c>
      <c r="N23" s="11" t="s">
        <v>43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8.0"/>
    <col customWidth="1" min="3" max="3" width="4.0"/>
    <col customWidth="1" min="4" max="4" width="8.0"/>
    <col customWidth="1" min="5" max="5" width="42.0"/>
    <col customWidth="1" min="6" max="26" width="8.71"/>
  </cols>
  <sheetData>
    <row r="1" ht="27.75" customHeight="1">
      <c r="A1" s="20" t="s">
        <v>172</v>
      </c>
      <c r="B1" s="2"/>
      <c r="C1" s="2"/>
      <c r="D1" s="2"/>
      <c r="E1" s="3"/>
    </row>
    <row r="3">
      <c r="A3" s="21" t="s">
        <v>173</v>
      </c>
      <c r="B3" s="3"/>
      <c r="D3" s="21" t="s">
        <v>174</v>
      </c>
      <c r="E3" s="3"/>
    </row>
    <row r="4">
      <c r="A4" s="22">
        <v>1.0</v>
      </c>
      <c r="B4" s="23" t="s">
        <v>175</v>
      </c>
      <c r="D4" s="22">
        <v>1.0</v>
      </c>
      <c r="E4" s="23" t="s">
        <v>176</v>
      </c>
    </row>
    <row r="5">
      <c r="A5" s="22">
        <v>2.0</v>
      </c>
      <c r="B5" s="23" t="s">
        <v>177</v>
      </c>
      <c r="D5" s="22">
        <v>2.0</v>
      </c>
      <c r="E5" s="23" t="s">
        <v>178</v>
      </c>
    </row>
    <row r="6">
      <c r="A6" s="22">
        <v>3.0</v>
      </c>
      <c r="B6" s="23" t="s">
        <v>179</v>
      </c>
      <c r="D6" s="22">
        <v>3.0</v>
      </c>
      <c r="E6" s="23" t="s">
        <v>180</v>
      </c>
    </row>
    <row r="7">
      <c r="A7" s="22">
        <v>4.0</v>
      </c>
      <c r="B7" s="23" t="s">
        <v>181</v>
      </c>
      <c r="D7" s="22">
        <v>4.0</v>
      </c>
      <c r="E7" s="23" t="s">
        <v>182</v>
      </c>
    </row>
    <row r="8">
      <c r="A8" s="22">
        <v>5.0</v>
      </c>
      <c r="B8" s="23" t="s">
        <v>183</v>
      </c>
      <c r="D8" s="22">
        <v>5.0</v>
      </c>
      <c r="E8" s="23" t="s">
        <v>184</v>
      </c>
    </row>
    <row r="10">
      <c r="A10" s="21" t="s">
        <v>185</v>
      </c>
      <c r="B10" s="2"/>
      <c r="C10" s="2"/>
      <c r="D10" s="2"/>
      <c r="E10" s="3"/>
    </row>
    <row r="11">
      <c r="A11" s="24" t="s">
        <v>22</v>
      </c>
      <c r="B11" s="25" t="s">
        <v>186</v>
      </c>
    </row>
    <row r="12">
      <c r="A12" s="26" t="s">
        <v>32</v>
      </c>
      <c r="B12" s="25" t="s">
        <v>187</v>
      </c>
    </row>
    <row r="13">
      <c r="A13" s="27" t="s">
        <v>87</v>
      </c>
      <c r="B13" s="25" t="s">
        <v>188</v>
      </c>
    </row>
    <row r="14">
      <c r="A14" s="28" t="s">
        <v>189</v>
      </c>
      <c r="B14" s="25" t="s"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B3"/>
    <mergeCell ref="D3:E3"/>
    <mergeCell ref="A10:E10"/>
  </mergeCells>
  <printOptions/>
  <pageMargins bottom="1.0" footer="0.0" header="0.0" left="0.75" right="0.75" top="1.0"/>
  <pageSetup paperSize="9" orientation="portrait"/>
  <drawing r:id="rId1"/>
</worksheet>
</file>